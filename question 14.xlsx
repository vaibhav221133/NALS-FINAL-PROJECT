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BCB1D085-0781-427F-AD9D-C35E150C29E8}" xr6:coauthVersionLast="47" xr6:coauthVersionMax="47" xr10:uidLastSave="{00000000-0000-0000-0000-000000000000}"/>
  <bookViews>
    <workbookView xWindow="-90" yWindow="0" windowWidth="9780" windowHeight="10170" xr2:uid="{5BC22053-0905-4D4B-9281-1A8486A8BD9D}"/>
  </bookViews>
  <sheets>
    <sheet name="Store_Sales" sheetId="1" r:id="rId1"/>
    <sheet name="Summary" sheetId="2" r:id="rId2"/>
    <sheet name="Charts" sheetId="3" r:id="rId3"/>
  </sheets>
  <definedNames>
    <definedName name="_xlnm._FilterDatabase" localSheetId="0" hidden="1">Store_Sales!$C$2:$C$10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G20" i="1"/>
  <c r="G21" i="1"/>
  <c r="G22" i="1"/>
  <c r="G15" i="1"/>
  <c r="E16" i="1"/>
  <c r="E17" i="1"/>
  <c r="E18" i="1"/>
  <c r="E19" i="1"/>
  <c r="E20" i="1"/>
  <c r="E21" i="1"/>
  <c r="E22" i="1"/>
  <c r="E15" i="1"/>
  <c r="H3" i="1"/>
  <c r="G3" i="1"/>
  <c r="F16" i="1"/>
  <c r="F17" i="1"/>
  <c r="F18" i="1"/>
  <c r="F19" i="1"/>
  <c r="F20" i="1"/>
  <c r="F21" i="1"/>
  <c r="F22" i="1"/>
  <c r="F15" i="1"/>
  <c r="C16" i="1"/>
  <c r="C17" i="1"/>
  <c r="C18" i="1"/>
  <c r="C19" i="1"/>
  <c r="C20" i="1"/>
  <c r="C21" i="1"/>
  <c r="C22" i="1"/>
  <c r="C15" i="1"/>
  <c r="B16" i="1"/>
  <c r="B17" i="1"/>
  <c r="B18" i="1"/>
  <c r="B19" i="1"/>
  <c r="B20" i="1"/>
  <c r="B21" i="1"/>
  <c r="B22" i="1"/>
  <c r="B15" i="1"/>
  <c r="A16" i="1"/>
  <c r="A17" i="1"/>
  <c r="A18" i="1"/>
  <c r="A19" i="1"/>
  <c r="A20" i="1"/>
  <c r="A21" i="1"/>
  <c r="A22" i="1"/>
  <c r="A23" i="1"/>
  <c r="A24" i="1"/>
  <c r="A15" i="1"/>
  <c r="F4" i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<sst xmlns="http://schemas.openxmlformats.org/spreadsheetml/2006/main" count="39" uniqueCount="27">
  <si>
    <t>Store_Sales sheet</t>
  </si>
  <si>
    <t>Date</t>
  </si>
  <si>
    <t>Product</t>
  </si>
  <si>
    <t>Category</t>
  </si>
  <si>
    <t>Quantity</t>
  </si>
  <si>
    <t>Price</t>
  </si>
  <si>
    <t>Total Sales</t>
  </si>
  <si>
    <t>Headphones</t>
  </si>
  <si>
    <t>Electronics</t>
  </si>
  <si>
    <t>Mouse</t>
  </si>
  <si>
    <t>Keyboard</t>
  </si>
  <si>
    <t>Notebook</t>
  </si>
  <si>
    <t>Stationery</t>
  </si>
  <si>
    <t>Pen Drive</t>
  </si>
  <si>
    <t>Pen</t>
  </si>
  <si>
    <t>First 3 letters of the product name</t>
  </si>
  <si>
    <t xml:space="preserve"> Last 2 letters of the category</t>
  </si>
  <si>
    <t>Max</t>
  </si>
  <si>
    <t>Min</t>
  </si>
  <si>
    <t>Right</t>
  </si>
  <si>
    <t>Mid</t>
  </si>
  <si>
    <t>Left</t>
  </si>
  <si>
    <t>Month</t>
  </si>
  <si>
    <t>Average Sales</t>
  </si>
  <si>
    <t>January 2025</t>
  </si>
  <si>
    <t>February 2025</t>
  </si>
  <si>
    <t>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</si>
</sst>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Summary!$A$2:$A$4</c:f>
              <c:strCache>
                <c:ptCount val="3"/>
                <c:pt idx="0">
                  <c:v>January 2025</c:v>
                </c:pt>
                <c:pt idx="1">
                  <c:v>February 2025</c:v>
                </c:pt>
                <c:pt idx="2">
                  <c:v>March 2025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25000</c:v>
                </c:pt>
                <c:pt idx="1">
                  <c:v>10400</c:v>
                </c:pt>
                <c:pt idx="2">
                  <c:v>7400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E-43E3-99D8-B5659D24B9B7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Average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Summary!$A$2:$A$4</c:f>
              <c:strCache>
                <c:ptCount val="3"/>
                <c:pt idx="0">
                  <c:v>January 2025</c:v>
                </c:pt>
                <c:pt idx="1">
                  <c:v>February 2025</c:v>
                </c:pt>
                <c:pt idx="2">
                  <c:v>March 2025</c:v>
                </c:pt>
              </c:strCache>
            </c:strRef>
          </c:cat>
          <c:val>
            <c:numRef>
              <c:f>Summary!$C$2:$C$4</c:f>
              <c:numCache>
                <c:formatCode>General</c:formatCode>
                <c:ptCount val="3"/>
                <c:pt idx="0">
                  <c:v>6250</c:v>
                </c:pt>
                <c:pt idx="1">
                  <c:v>5200</c:v>
                </c:pt>
                <c:pt idx="2">
                  <c:v>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AE-43E3-99D8-B5659D24B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427759"/>
        <c:axId val="414422479"/>
      </c:lineChart>
      <c:catAx>
        <c:axId val="41442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22479"/>
        <c:crosses val="autoZero"/>
        <c:auto val="1"/>
        <c:lblAlgn val="ctr"/>
        <c:lblOffset val="100"/>
        <c:noMultiLvlLbl val="0"/>
      </c:catAx>
      <c:valAx>
        <c:axId val="4144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42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57150</xdr:rowOff>
    </xdr:from>
    <xdr:to>
      <xdr:col>8</xdr:col>
      <xdr:colOff>101600</xdr:colOff>
      <xdr:row>17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76532-8B96-4EB7-BC07-5A91C0871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A09A-64A5-49C4-A52E-EFF139F99418}">
  <dimension ref="A1:H24"/>
  <sheetViews>
    <sheetView tabSelected="1" zoomScale="85" zoomScaleNormal="85" workbookViewId="0">
      <selection activeCell="G8" sqref="G8"/>
    </sheetView>
  </sheetViews>
  <sheetFormatPr defaultRowHeight="14.5" x14ac:dyDescent="0.35"/>
  <cols>
    <col min="1" max="1" width="17.81640625" customWidth="1"/>
    <col min="2" max="2" width="14.7265625" customWidth="1"/>
    <col min="3" max="3" width="12" customWidth="1"/>
    <col min="4" max="4" width="10.1796875" customWidth="1"/>
    <col min="5" max="6" width="10.08984375" customWidth="1"/>
    <col min="7" max="7" width="10.36328125" customWidth="1"/>
  </cols>
  <sheetData>
    <row r="1" spans="1:8" ht="23.5" x14ac:dyDescent="0.35">
      <c r="A1" s="1" t="s">
        <v>0</v>
      </c>
      <c r="B1" s="1"/>
      <c r="C1" s="1"/>
      <c r="D1" s="1"/>
      <c r="E1" s="1"/>
      <c r="F1" s="2"/>
    </row>
    <row r="2" spans="1:8" ht="37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2" t="s">
        <v>6</v>
      </c>
      <c r="G2" s="8" t="s">
        <v>17</v>
      </c>
      <c r="H2" s="8" t="s">
        <v>18</v>
      </c>
    </row>
    <row r="3" spans="1:8" ht="15.5" x14ac:dyDescent="0.35">
      <c r="A3" s="4">
        <v>45706</v>
      </c>
      <c r="B3" s="5" t="s">
        <v>7</v>
      </c>
      <c r="C3" s="5" t="s">
        <v>8</v>
      </c>
      <c r="D3" s="5">
        <v>20</v>
      </c>
      <c r="E3" s="5">
        <v>100</v>
      </c>
      <c r="F3" s="13">
        <f>D3*E3</f>
        <v>2000</v>
      </c>
      <c r="G3" s="9">
        <f>MAX(F3:F10)</f>
        <v>8400</v>
      </c>
      <c r="H3" s="9">
        <f>MIN(F3:F10)</f>
        <v>1000</v>
      </c>
    </row>
    <row r="4" spans="1:8" ht="15.5" x14ac:dyDescent="0.35">
      <c r="A4" s="4">
        <v>45738</v>
      </c>
      <c r="B4" s="5" t="s">
        <v>7</v>
      </c>
      <c r="C4" s="5" t="s">
        <v>8</v>
      </c>
      <c r="D4" s="5">
        <v>50</v>
      </c>
      <c r="E4" s="5">
        <v>20</v>
      </c>
      <c r="F4" s="13">
        <f t="shared" ref="F4:F10" si="0">D4*E4</f>
        <v>1000</v>
      </c>
      <c r="G4" s="14"/>
      <c r="H4" s="14"/>
    </row>
    <row r="5" spans="1:8" ht="15.5" x14ac:dyDescent="0.35">
      <c r="A5" s="4">
        <v>45658</v>
      </c>
      <c r="B5" s="5" t="s">
        <v>7</v>
      </c>
      <c r="C5" s="5" t="s">
        <v>8</v>
      </c>
      <c r="D5" s="5">
        <v>5</v>
      </c>
      <c r="E5" s="5">
        <v>1000</v>
      </c>
      <c r="F5" s="13">
        <f t="shared" si="0"/>
        <v>5000</v>
      </c>
      <c r="G5" s="14"/>
      <c r="H5" s="14"/>
    </row>
    <row r="6" spans="1:8" ht="15.5" x14ac:dyDescent="0.35">
      <c r="A6" s="4">
        <v>45658</v>
      </c>
      <c r="B6" s="5" t="s">
        <v>10</v>
      </c>
      <c r="C6" s="5" t="s">
        <v>8</v>
      </c>
      <c r="D6" s="5">
        <v>5</v>
      </c>
      <c r="E6" s="5">
        <v>1500</v>
      </c>
      <c r="F6" s="13">
        <f t="shared" si="0"/>
        <v>7500</v>
      </c>
      <c r="G6" s="14"/>
      <c r="H6" s="14"/>
    </row>
    <row r="7" spans="1:8" ht="15.5" x14ac:dyDescent="0.35">
      <c r="A7" s="4">
        <v>45658</v>
      </c>
      <c r="B7" s="5" t="s">
        <v>9</v>
      </c>
      <c r="C7" s="5" t="s">
        <v>8</v>
      </c>
      <c r="D7" s="5">
        <v>5</v>
      </c>
      <c r="E7" s="5">
        <v>1500</v>
      </c>
      <c r="F7" s="13">
        <f t="shared" si="0"/>
        <v>7500</v>
      </c>
      <c r="G7" s="14"/>
      <c r="H7" s="14"/>
    </row>
    <row r="8" spans="1:8" ht="15.5" x14ac:dyDescent="0.35">
      <c r="A8" s="4">
        <v>45726</v>
      </c>
      <c r="B8" s="5" t="s">
        <v>13</v>
      </c>
      <c r="C8" s="5" t="s">
        <v>8</v>
      </c>
      <c r="D8" s="5">
        <v>8</v>
      </c>
      <c r="E8" s="5">
        <v>800</v>
      </c>
      <c r="F8" s="13">
        <f t="shared" si="0"/>
        <v>6400</v>
      </c>
      <c r="G8" s="14"/>
      <c r="H8" s="14"/>
    </row>
    <row r="9" spans="1:8" ht="15.5" x14ac:dyDescent="0.35">
      <c r="A9" s="4">
        <v>45700</v>
      </c>
      <c r="B9" s="5" t="s">
        <v>11</v>
      </c>
      <c r="C9" s="5" t="s">
        <v>12</v>
      </c>
      <c r="D9" s="5">
        <v>7</v>
      </c>
      <c r="E9" s="5">
        <v>1200</v>
      </c>
      <c r="F9" s="13">
        <f t="shared" si="0"/>
        <v>8400</v>
      </c>
      <c r="G9" s="14"/>
      <c r="H9" s="14"/>
    </row>
    <row r="10" spans="1:8" ht="15.5" x14ac:dyDescent="0.35">
      <c r="A10" s="4">
        <v>45662</v>
      </c>
      <c r="B10" s="5" t="s">
        <v>14</v>
      </c>
      <c r="C10" s="5" t="s">
        <v>12</v>
      </c>
      <c r="D10" s="5">
        <v>10</v>
      </c>
      <c r="E10" s="5">
        <v>500</v>
      </c>
      <c r="F10" s="13">
        <f t="shared" si="0"/>
        <v>5000</v>
      </c>
      <c r="G10" s="14"/>
      <c r="H10" s="14"/>
    </row>
    <row r="13" spans="1:8" x14ac:dyDescent="0.35">
      <c r="A13" s="7" t="s">
        <v>15</v>
      </c>
      <c r="B13" s="7"/>
      <c r="C13" s="7"/>
      <c r="E13" s="7" t="s">
        <v>16</v>
      </c>
      <c r="F13" s="7"/>
      <c r="G13" s="7"/>
    </row>
    <row r="14" spans="1:8" x14ac:dyDescent="0.35">
      <c r="A14" s="10" t="s">
        <v>21</v>
      </c>
      <c r="B14" s="10" t="s">
        <v>19</v>
      </c>
      <c r="C14" s="10" t="s">
        <v>20</v>
      </c>
      <c r="E14" s="10" t="s">
        <v>21</v>
      </c>
      <c r="F14" s="10" t="s">
        <v>19</v>
      </c>
      <c r="G14" s="10" t="s">
        <v>20</v>
      </c>
    </row>
    <row r="15" spans="1:8" x14ac:dyDescent="0.35">
      <c r="A15" s="9" t="str">
        <f>LEFT(B3,3)</f>
        <v>Hea</v>
      </c>
      <c r="B15" s="9" t="str">
        <f>RIGHT(B3,3)</f>
        <v>nes</v>
      </c>
      <c r="C15" s="9" t="str">
        <f>MID(B3,2,3)</f>
        <v>ead</v>
      </c>
      <c r="E15" s="11" t="str">
        <f>LEFT(C3,2)</f>
        <v>El</v>
      </c>
      <c r="F15" s="11" t="str">
        <f>RIGHT(C3,2)</f>
        <v>cs</v>
      </c>
      <c r="G15" s="11" t="str">
        <f>MID(C3,2,3)</f>
        <v>lec</v>
      </c>
    </row>
    <row r="16" spans="1:8" x14ac:dyDescent="0.35">
      <c r="A16" s="9" t="str">
        <f t="shared" ref="A16:A24" si="1">LEFT(B4,3)</f>
        <v>Hea</v>
      </c>
      <c r="B16" s="9" t="str">
        <f t="shared" ref="B16:B22" si="2">RIGHT(B4,3)</f>
        <v>nes</v>
      </c>
      <c r="C16" s="9" t="str">
        <f t="shared" ref="C16:C22" si="3">MID(B4,2,3)</f>
        <v>ead</v>
      </c>
      <c r="E16" s="11" t="str">
        <f t="shared" ref="E16:E22" si="4">LEFT(C4,2)</f>
        <v>El</v>
      </c>
      <c r="F16" s="11" t="str">
        <f t="shared" ref="F16:F22" si="5">RIGHT(C4,2)</f>
        <v>cs</v>
      </c>
      <c r="G16" s="11" t="str">
        <f t="shared" ref="G16:G22" si="6">MID(C4,2,3)</f>
        <v>lec</v>
      </c>
    </row>
    <row r="17" spans="1:7" x14ac:dyDescent="0.35">
      <c r="A17" s="9" t="str">
        <f t="shared" si="1"/>
        <v>Hea</v>
      </c>
      <c r="B17" s="9" t="str">
        <f t="shared" si="2"/>
        <v>nes</v>
      </c>
      <c r="C17" s="9" t="str">
        <f t="shared" si="3"/>
        <v>ead</v>
      </c>
      <c r="E17" s="11" t="str">
        <f t="shared" si="4"/>
        <v>El</v>
      </c>
      <c r="F17" s="11" t="str">
        <f t="shared" si="5"/>
        <v>cs</v>
      </c>
      <c r="G17" s="11" t="str">
        <f t="shared" si="6"/>
        <v>lec</v>
      </c>
    </row>
    <row r="18" spans="1:7" x14ac:dyDescent="0.35">
      <c r="A18" s="9" t="str">
        <f t="shared" si="1"/>
        <v>Key</v>
      </c>
      <c r="B18" s="9" t="str">
        <f t="shared" si="2"/>
        <v>ard</v>
      </c>
      <c r="C18" s="9" t="str">
        <f t="shared" si="3"/>
        <v>eyb</v>
      </c>
      <c r="E18" s="11" t="str">
        <f t="shared" si="4"/>
        <v>El</v>
      </c>
      <c r="F18" s="11" t="str">
        <f t="shared" si="5"/>
        <v>cs</v>
      </c>
      <c r="G18" s="11" t="str">
        <f t="shared" si="6"/>
        <v>lec</v>
      </c>
    </row>
    <row r="19" spans="1:7" x14ac:dyDescent="0.35">
      <c r="A19" s="9" t="str">
        <f t="shared" si="1"/>
        <v>Mou</v>
      </c>
      <c r="B19" s="9" t="str">
        <f t="shared" si="2"/>
        <v>use</v>
      </c>
      <c r="C19" s="9" t="str">
        <f t="shared" si="3"/>
        <v>ous</v>
      </c>
      <c r="E19" s="11" t="str">
        <f t="shared" si="4"/>
        <v>El</v>
      </c>
      <c r="F19" s="11" t="str">
        <f t="shared" si="5"/>
        <v>cs</v>
      </c>
      <c r="G19" s="11" t="str">
        <f t="shared" si="6"/>
        <v>lec</v>
      </c>
    </row>
    <row r="20" spans="1:7" x14ac:dyDescent="0.35">
      <c r="A20" s="9" t="str">
        <f t="shared" si="1"/>
        <v>Pen</v>
      </c>
      <c r="B20" s="9" t="str">
        <f t="shared" si="2"/>
        <v>ive</v>
      </c>
      <c r="C20" s="9" t="str">
        <f t="shared" si="3"/>
        <v xml:space="preserve">en </v>
      </c>
      <c r="E20" s="11" t="str">
        <f t="shared" si="4"/>
        <v>El</v>
      </c>
      <c r="F20" s="11" t="str">
        <f t="shared" si="5"/>
        <v>cs</v>
      </c>
      <c r="G20" s="11" t="str">
        <f t="shared" si="6"/>
        <v>lec</v>
      </c>
    </row>
    <row r="21" spans="1:7" x14ac:dyDescent="0.35">
      <c r="A21" s="9" t="str">
        <f t="shared" si="1"/>
        <v>Not</v>
      </c>
      <c r="B21" s="9" t="str">
        <f t="shared" si="2"/>
        <v>ook</v>
      </c>
      <c r="C21" s="9" t="str">
        <f t="shared" si="3"/>
        <v>ote</v>
      </c>
      <c r="E21" s="11" t="str">
        <f t="shared" si="4"/>
        <v>St</v>
      </c>
      <c r="F21" s="11" t="str">
        <f t="shared" si="5"/>
        <v>ry</v>
      </c>
      <c r="G21" s="11" t="str">
        <f t="shared" si="6"/>
        <v>tat</v>
      </c>
    </row>
    <row r="22" spans="1:7" x14ac:dyDescent="0.35">
      <c r="A22" s="9" t="str">
        <f t="shared" si="1"/>
        <v>Pen</v>
      </c>
      <c r="B22" s="9" t="str">
        <f t="shared" si="2"/>
        <v>Pen</v>
      </c>
      <c r="C22" s="9" t="str">
        <f t="shared" si="3"/>
        <v>en</v>
      </c>
      <c r="E22" s="11" t="str">
        <f t="shared" si="4"/>
        <v>St</v>
      </c>
      <c r="F22" s="11" t="str">
        <f t="shared" si="5"/>
        <v>ry</v>
      </c>
      <c r="G22" s="11" t="str">
        <f t="shared" si="6"/>
        <v>tat</v>
      </c>
    </row>
    <row r="23" spans="1:7" x14ac:dyDescent="0.35">
      <c r="A23" t="str">
        <f t="shared" si="1"/>
        <v/>
      </c>
    </row>
    <row r="24" spans="1:7" x14ac:dyDescent="0.35">
      <c r="A24" t="str">
        <f t="shared" si="1"/>
        <v/>
      </c>
    </row>
  </sheetData>
  <sheetProtection sheet="1" objects="1" scenarios="1" selectLockedCells="1" selectUnlockedCells="1"/>
  <autoFilter ref="C2:C10" xr:uid="{87E6A09A-64A5-49C4-A52E-EFF139F99418}"/>
  <sortState xmlns:xlrd2="http://schemas.microsoft.com/office/spreadsheetml/2017/richdata2" ref="A3:F10">
    <sortCondition ref="C3:C10"/>
  </sortState>
  <mergeCells count="3">
    <mergeCell ref="A1:F1"/>
    <mergeCell ref="A13:C13"/>
    <mergeCell ref="E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CEDA-95A0-40C2-BEDA-05B3A4C425FA}">
  <dimension ref="A1:E4"/>
  <sheetViews>
    <sheetView workbookViewId="0">
      <selection sqref="A1:C4"/>
    </sheetView>
  </sheetViews>
  <sheetFormatPr defaultRowHeight="14.5" x14ac:dyDescent="0.35"/>
  <cols>
    <col min="1" max="1" width="19.26953125" customWidth="1"/>
    <col min="2" max="2" width="23.54296875" customWidth="1"/>
    <col min="3" max="3" width="26.26953125" customWidth="1"/>
  </cols>
  <sheetData>
    <row r="1" spans="1:5" ht="28.5" x14ac:dyDescent="0.65">
      <c r="A1" s="15" t="s">
        <v>22</v>
      </c>
      <c r="B1" s="15" t="s">
        <v>6</v>
      </c>
      <c r="C1" s="16" t="s">
        <v>23</v>
      </c>
      <c r="D1" s="16"/>
      <c r="E1" s="16"/>
    </row>
    <row r="2" spans="1:5" x14ac:dyDescent="0.35">
      <c r="A2" s="6" t="s">
        <v>24</v>
      </c>
      <c r="B2" s="6">
        <v>25000</v>
      </c>
      <c r="C2" s="6">
        <v>6250</v>
      </c>
    </row>
    <row r="3" spans="1:5" x14ac:dyDescent="0.35">
      <c r="A3" s="6" t="s">
        <v>25</v>
      </c>
      <c r="B3" s="6">
        <v>10400</v>
      </c>
      <c r="C3" s="6">
        <v>5200</v>
      </c>
    </row>
    <row r="4" spans="1:5" x14ac:dyDescent="0.35">
      <c r="A4" s="6" t="s">
        <v>26</v>
      </c>
      <c r="B4" s="6">
        <v>7400</v>
      </c>
      <c r="C4" s="6">
        <v>3700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DF23-F116-4EFE-87FE-86C4E23F29DC}">
  <dimension ref="A1"/>
  <sheetViews>
    <sheetView workbookViewId="0">
      <selection activeCell="C6" sqref="C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Store_Sales</vt:lpstr>
      <vt:lpstr>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sharma</dc:creator>
  <cp:lastModifiedBy>vaibhav sharma</cp:lastModifiedBy>
  <dcterms:created xsi:type="dcterms:W3CDTF">2026-01-06T10:47:05Z</dcterms:created>
  <dcterms:modified xsi:type="dcterms:W3CDTF">2026-01-06T12:01:05Z</dcterms:modified>
</cp:coreProperties>
</file>
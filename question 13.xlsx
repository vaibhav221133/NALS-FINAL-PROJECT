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8_{EC9C164F-E905-45B5-BB82-A8A72B017DC6}" xr6:coauthVersionLast="47" xr6:coauthVersionMax="47" xr10:uidLastSave="{00000000-0000-0000-0000-000000000000}"/>
  <bookViews>
    <workbookView xWindow="-110" yWindow="-110" windowWidth="19420" windowHeight="10300" activeTab="2" xr2:uid="{8EE044D9-E6DB-423F-AB6A-6A1F17BE6E4D}"/>
  </bookViews>
  <sheets>
    <sheet name="Student_Data" sheetId="1" r:id="rId1"/>
    <sheet name="Marks_Analysis" sheetId="2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2" l="1"/>
  <c r="P3" i="2"/>
  <c r="N3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3" i="2"/>
  <c r="J15" i="2"/>
  <c r="K15" i="2" s="1"/>
  <c r="J14" i="2"/>
  <c r="K14" i="2" s="1"/>
  <c r="J13" i="2"/>
  <c r="K13" i="2" s="1"/>
  <c r="K12" i="2"/>
  <c r="J12" i="2"/>
  <c r="J11" i="2"/>
  <c r="K11" i="2" s="1"/>
  <c r="J10" i="2"/>
  <c r="K10" i="2" s="1"/>
  <c r="J9" i="2"/>
  <c r="K9" i="2" s="1"/>
  <c r="J8" i="2"/>
  <c r="K8" i="2" s="1"/>
  <c r="J7" i="2"/>
  <c r="K7" i="2" s="1"/>
  <c r="K6" i="2"/>
  <c r="J6" i="2"/>
  <c r="J5" i="2"/>
  <c r="K5" i="2" s="1"/>
  <c r="J4" i="2"/>
  <c r="K4" i="2" s="1"/>
  <c r="J3" i="2"/>
  <c r="K3" i="2" s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3" i="1"/>
</calcChain>
</file>

<file path=xl/sharedStrings.xml><?xml version="1.0" encoding="utf-8"?>
<sst xmlns="http://schemas.openxmlformats.org/spreadsheetml/2006/main" count="134" uniqueCount="68">
  <si>
    <t>Name</t>
  </si>
  <si>
    <t>Roll No</t>
  </si>
  <si>
    <t>Class</t>
  </si>
  <si>
    <t>City</t>
  </si>
  <si>
    <t>Marks (ENGLISH)</t>
  </si>
  <si>
    <t>Marks (MATHS)</t>
  </si>
  <si>
    <t>Marks (SCIENCE)</t>
  </si>
  <si>
    <t>Rahul Verma</t>
  </si>
  <si>
    <t>Neha Sharma</t>
  </si>
  <si>
    <t>Jaipur</t>
  </si>
  <si>
    <t>Aman Khan</t>
  </si>
  <si>
    <t>Lucknow</t>
  </si>
  <si>
    <t>Pooja Patel</t>
  </si>
  <si>
    <t>Surat</t>
  </si>
  <si>
    <t>Suresh Das</t>
  </si>
  <si>
    <t>Ankit Singh</t>
  </si>
  <si>
    <t>Patna</t>
  </si>
  <si>
    <t>Riya Gupta</t>
  </si>
  <si>
    <t>Noida</t>
  </si>
  <si>
    <t>Indore</t>
  </si>
  <si>
    <t>Sneha Iyer</t>
  </si>
  <si>
    <t>Chennai</t>
  </si>
  <si>
    <t>Karan Malhotra</t>
  </si>
  <si>
    <t>Chandigarh</t>
  </si>
  <si>
    <t>Aditi Rao</t>
  </si>
  <si>
    <t>Bengaluru</t>
  </si>
  <si>
    <t>Nikhil Pawar</t>
  </si>
  <si>
    <t>Pune</t>
  </si>
  <si>
    <t>Simran Kaur</t>
  </si>
  <si>
    <t>Priya Gupta</t>
  </si>
  <si>
    <t xml:space="preserve">First name </t>
  </si>
  <si>
    <t xml:space="preserve">last name </t>
  </si>
  <si>
    <t xml:space="preserve">Rahul </t>
  </si>
  <si>
    <t>Neha</t>
  </si>
  <si>
    <t>Aman</t>
  </si>
  <si>
    <t>Pooja</t>
  </si>
  <si>
    <t>Suresh</t>
  </si>
  <si>
    <t>Ankit</t>
  </si>
  <si>
    <t>Riya</t>
  </si>
  <si>
    <t>Priya</t>
  </si>
  <si>
    <t>Sneha</t>
  </si>
  <si>
    <t>Karan</t>
  </si>
  <si>
    <t>Aditi</t>
  </si>
  <si>
    <t>Nikhil</t>
  </si>
  <si>
    <t>Simran</t>
  </si>
  <si>
    <t>sharma</t>
  </si>
  <si>
    <t>verma</t>
  </si>
  <si>
    <t>khan</t>
  </si>
  <si>
    <t>patel</t>
  </si>
  <si>
    <t>das</t>
  </si>
  <si>
    <t>singh</t>
  </si>
  <si>
    <t>gupta</t>
  </si>
  <si>
    <t>iyer</t>
  </si>
  <si>
    <t>malhotra</t>
  </si>
  <si>
    <t>rao</t>
  </si>
  <si>
    <t>pawar</t>
  </si>
  <si>
    <t>kaur</t>
  </si>
  <si>
    <t>Total Marks</t>
  </si>
  <si>
    <t xml:space="preserve">Result </t>
  </si>
  <si>
    <t>delhi</t>
  </si>
  <si>
    <t>how many students belong to “Delhi”</t>
  </si>
  <si>
    <t xml:space="preserve">                                   Student Result Management</t>
  </si>
  <si>
    <t>Average</t>
  </si>
  <si>
    <t>Max</t>
  </si>
  <si>
    <t>Min</t>
  </si>
  <si>
    <t>The Number of
Student Who 
passed Exam</t>
  </si>
  <si>
    <t>The Number of
Student Who 
Failed Exam</t>
  </si>
  <si>
    <t xml:space="preserve">                                            Student Result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</si>
</sst>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24"/>
      <color theme="1"/>
      <name val="Arial"/>
      <family val="2"/>
    </font>
    <font>
      <b/>
      <sz val="20"/>
      <color theme="1"/>
      <name val="Arial"/>
      <family val="2"/>
    </font>
    <font>
      <b/>
      <sz val="48"/>
      <color theme="1"/>
      <name val="Arial"/>
      <family val="2"/>
    </font>
    <font>
      <sz val="24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2" fillId="0" borderId="1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/>
    <xf numFmtId="0" fontId="12" fillId="0" borderId="1" xfId="0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0" borderId="5" xfId="0" applyBorder="1"/>
    <xf numFmtId="0" fontId="11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/>
    <xf numFmtId="0" fontId="13" fillId="0" borderId="7" xfId="0" applyFont="1" applyBorder="1" applyAlignment="1">
      <alignment vertical="center"/>
    </xf>
    <xf numFmtId="0" fontId="2" fillId="0" borderId="10" xfId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0" fillId="0" borderId="4" xfId="0" applyBorder="1"/>
    <xf numFmtId="0" fontId="6" fillId="0" borderId="6" xfId="1" applyFont="1" applyBorder="1" applyAlignment="1">
      <alignment vertical="center"/>
    </xf>
    <xf numFmtId="0" fontId="6" fillId="0" borderId="8" xfId="1" applyFont="1" applyBorder="1" applyAlignment="1">
      <alignment vertical="center"/>
    </xf>
  </cellXfs>
  <cellStyles count="2">
    <cellStyle name="Normal" xfId="0" builtinId="0"/>
    <cellStyle name="Normal 2" xfId="1" xr:uid="{A4E6E161-0988-4447-AEE7-E8AF170152AB}"/>
  </cellStyles>
  <dxfs count="1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Bar Chart showing marks of any one subject</a:t>
            </a:r>
            <a:endParaRPr lang="en-IN"/>
          </a:p>
        </c:rich>
      </c:tx>
      <c:layout>
        <c:manualLayout>
          <c:xMode val="edge"/>
          <c:yMode val="edge"/>
          <c:x val="0.13849186152111215"/>
          <c:y val="3.5019455252918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Marks_Analysis!$I$3:$I$15</c:f>
              <c:numCache>
                <c:formatCode>General</c:formatCode>
                <c:ptCount val="13"/>
                <c:pt idx="0">
                  <c:v>75</c:v>
                </c:pt>
                <c:pt idx="1">
                  <c:v>88</c:v>
                </c:pt>
                <c:pt idx="2">
                  <c:v>86</c:v>
                </c:pt>
                <c:pt idx="3">
                  <c:v>40</c:v>
                </c:pt>
                <c:pt idx="4">
                  <c:v>79</c:v>
                </c:pt>
                <c:pt idx="5">
                  <c:v>20</c:v>
                </c:pt>
                <c:pt idx="6">
                  <c:v>94</c:v>
                </c:pt>
                <c:pt idx="7">
                  <c:v>85</c:v>
                </c:pt>
                <c:pt idx="8">
                  <c:v>91</c:v>
                </c:pt>
                <c:pt idx="9">
                  <c:v>82</c:v>
                </c:pt>
                <c:pt idx="10">
                  <c:v>88</c:v>
                </c:pt>
                <c:pt idx="11">
                  <c:v>87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E-425E-B6B4-6423DEA78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30415"/>
        <c:axId val="214093151"/>
      </c:barChart>
      <c:catAx>
        <c:axId val="14523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93151"/>
        <c:crosses val="autoZero"/>
        <c:auto val="1"/>
        <c:lblAlgn val="ctr"/>
        <c:lblOffset val="100"/>
        <c:noMultiLvlLbl val="0"/>
      </c:catAx>
      <c:valAx>
        <c:axId val="21409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3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41-4062-9146-13EF85D215D2}"/>
              </c:ext>
            </c:extLst>
          </c:dPt>
          <c:val>
            <c:numRef>
              <c:f>Marks_Analysis!$O$3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41-4062-9146-13EF85D215D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341-4062-9146-13EF85D215D2}"/>
              </c:ext>
            </c:extLst>
          </c:dPt>
          <c:val>
            <c:numRef>
              <c:f>Marks_Analysis!$P$3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41-4062-9146-13EF85D21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1</xdr:row>
      <xdr:rowOff>31750</xdr:rowOff>
    </xdr:from>
    <xdr:to>
      <xdr:col>8</xdr:col>
      <xdr:colOff>508000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48261-0B69-4E10-A044-AE7A25946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469900</xdr:colOff>
      <xdr:row>2</xdr:row>
      <xdr:rowOff>95250</xdr:rowOff>
    </xdr:from>
    <xdr:to>
      <xdr:col>17</xdr:col>
      <xdr:colOff>165100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A36B12-C9F5-4805-ACD1-6A366BCA4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94DE3D-1C63-4FF7-972E-E483C2CE049D}" name="Table4" displayName="Table4" ref="B2:P15" totalsRowShown="0" headerRowBorderDxfId="16" tableBorderDxfId="17" totalsRowBorderDxfId="15">
  <autoFilter ref="B2:P15" xr:uid="{9A94DE3D-1C63-4FF7-972E-E483C2CE049D}"/>
  <tableColumns count="15">
    <tableColumn id="1" xr3:uid="{7F35228A-D013-4F61-B56C-A53A44A1B24B}" name="First name " dataDxfId="14"/>
    <tableColumn id="2" xr3:uid="{F9AA6100-A0A3-4AA5-9453-41FC0C8B0361}" name="last name " dataDxfId="13"/>
    <tableColumn id="3" xr3:uid="{66EBFDBB-B3F3-4B89-8718-EBFACC49274F}" name="Roll No" dataDxfId="12"/>
    <tableColumn id="4" xr3:uid="{325D8CF5-2C43-4C43-BF81-DE451BF9B1DA}" name="Class" dataDxfId="11"/>
    <tableColumn id="5" xr3:uid="{8727E43E-F633-4B50-B1F7-A28F8831F43F}" name="City" dataDxfId="10"/>
    <tableColumn id="6" xr3:uid="{19026A0F-3751-4292-A160-9BA4A6DBA2D8}" name="Marks (ENGLISH)" dataDxfId="9"/>
    <tableColumn id="7" xr3:uid="{ADDCBB53-371A-4B92-8B12-537991E64751}" name="Marks (MATHS)" dataDxfId="8"/>
    <tableColumn id="8" xr3:uid="{8ABFC489-3439-495F-B729-76155C882651}" name="Marks (SCIENCE)" dataDxfId="7"/>
    <tableColumn id="9" xr3:uid="{1BFA1B98-CE87-4037-A1D8-CE2715B9CE90}" name="Total Marks" dataDxfId="6">
      <calculatedColumnFormula>SUM(G3:I3)</calculatedColumnFormula>
    </tableColumn>
    <tableColumn id="10" xr3:uid="{EAE564E0-8557-4E45-B0D2-F689A7234AD4}" name="Result " dataDxfId="5">
      <calculatedColumnFormula>IF(J3:J15&gt;=120,"pass","fail")</calculatedColumnFormula>
    </tableColumn>
    <tableColumn id="11" xr3:uid="{8FD2F161-42A3-4041-A808-56FFC09EE723}" name="Average" dataDxfId="4">
      <calculatedColumnFormula>AVERAGE(G3:I3)</calculatedColumnFormula>
    </tableColumn>
    <tableColumn id="12" xr3:uid="{7535FA56-04DA-4A4B-B984-CB2F72338240}" name="Max" dataDxfId="3"/>
    <tableColumn id="13" xr3:uid="{4AC7870B-0CC6-4781-9AFD-35ED4621C2F8}" name="Min" dataDxfId="2"/>
    <tableColumn id="14" xr3:uid="{12A97E29-FCB2-4C2F-AF75-9F342D93217C}" name="The Number of_x000a_Student Who _x000a_passed Exam" dataDxfId="1"/>
    <tableColumn id="15" xr3:uid="{B0DA4C5F-D2C3-4049-8AA5-5D85E4F781DB}" name="The Number of_x000a_Student Who _x000a_Failed Exam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4ECD-6EAD-4C93-BC9A-69AF2B1806FB}">
  <dimension ref="A1:L15"/>
  <sheetViews>
    <sheetView zoomScale="40" zoomScaleNormal="40" workbookViewId="0">
      <selection sqref="A1:L15"/>
    </sheetView>
  </sheetViews>
  <sheetFormatPr defaultRowHeight="14.5" x14ac:dyDescent="0.35"/>
  <cols>
    <col min="1" max="3" width="37.54296875" customWidth="1"/>
    <col min="4" max="4" width="23.90625" customWidth="1"/>
    <col min="5" max="5" width="23.453125" customWidth="1"/>
    <col min="6" max="6" width="26.90625" customWidth="1"/>
    <col min="7" max="7" width="23.453125" customWidth="1"/>
    <col min="8" max="8" width="18.54296875" customWidth="1"/>
    <col min="9" max="9" width="22.90625" customWidth="1"/>
    <col min="10" max="10" width="26.26953125" customWidth="1"/>
    <col min="11" max="11" width="26.08984375" customWidth="1"/>
    <col min="12" max="12" width="19.453125" customWidth="1"/>
  </cols>
  <sheetData>
    <row r="1" spans="1:12" ht="125.5" customHeight="1" x14ac:dyDescent="0.35">
      <c r="A1" s="19" t="s">
        <v>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00" customHeight="1" x14ac:dyDescent="0.35">
      <c r="A2" s="3" t="s">
        <v>0</v>
      </c>
      <c r="B2" s="10" t="s">
        <v>30</v>
      </c>
      <c r="C2" s="11" t="s">
        <v>31</v>
      </c>
      <c r="D2" s="3" t="s">
        <v>1</v>
      </c>
      <c r="E2" s="3" t="s">
        <v>2</v>
      </c>
      <c r="F2" s="3" t="s">
        <v>3</v>
      </c>
      <c r="G2" s="1" t="s">
        <v>4</v>
      </c>
      <c r="H2" s="1" t="s">
        <v>5</v>
      </c>
      <c r="I2" s="1" t="s">
        <v>6</v>
      </c>
      <c r="J2" s="13" t="s">
        <v>57</v>
      </c>
      <c r="K2" s="14" t="s">
        <v>58</v>
      </c>
      <c r="L2" s="11" t="s">
        <v>60</v>
      </c>
    </row>
    <row r="3" spans="1:12" ht="31" x14ac:dyDescent="0.35">
      <c r="A3" s="4" t="s">
        <v>7</v>
      </c>
      <c r="B3" s="12" t="s">
        <v>32</v>
      </c>
      <c r="C3" s="12" t="s">
        <v>46</v>
      </c>
      <c r="D3" s="5">
        <v>1</v>
      </c>
      <c r="E3" s="6">
        <v>9</v>
      </c>
      <c r="F3" s="1" t="s">
        <v>59</v>
      </c>
      <c r="G3" s="2">
        <v>78</v>
      </c>
      <c r="H3" s="2">
        <v>82</v>
      </c>
      <c r="I3" s="2">
        <v>75</v>
      </c>
      <c r="J3" s="15">
        <f>SUM(G3:I3)</f>
        <v>235</v>
      </c>
      <c r="K3" s="16" t="str">
        <f>IF(J3:J15&gt;=120,"pass","fail")</f>
        <v>pass</v>
      </c>
      <c r="L3" s="18">
        <f>COUNTIF(F3:F15,"delhi")</f>
        <v>3</v>
      </c>
    </row>
    <row r="4" spans="1:12" ht="31" x14ac:dyDescent="0.35">
      <c r="A4" s="4" t="s">
        <v>8</v>
      </c>
      <c r="B4" s="12" t="s">
        <v>33</v>
      </c>
      <c r="C4" s="12" t="s">
        <v>45</v>
      </c>
      <c r="D4" s="5">
        <v>2</v>
      </c>
      <c r="E4" s="6">
        <v>9</v>
      </c>
      <c r="F4" s="1" t="s">
        <v>9</v>
      </c>
      <c r="G4" s="2">
        <v>85</v>
      </c>
      <c r="H4" s="2">
        <v>10</v>
      </c>
      <c r="I4" s="2">
        <v>88</v>
      </c>
      <c r="J4" s="15">
        <f t="shared" ref="J4:J15" si="0">SUM(G4:I4)</f>
        <v>183</v>
      </c>
      <c r="K4" s="16" t="str">
        <f t="shared" ref="K4:K15" si="1">IF(J4:J16&gt;=120,"pass","fail")</f>
        <v>pass</v>
      </c>
      <c r="L4" s="17"/>
    </row>
    <row r="5" spans="1:12" ht="31" x14ac:dyDescent="0.35">
      <c r="A5" s="4" t="s">
        <v>10</v>
      </c>
      <c r="B5" s="12" t="s">
        <v>34</v>
      </c>
      <c r="C5" s="12" t="s">
        <v>47</v>
      </c>
      <c r="D5" s="5">
        <v>3</v>
      </c>
      <c r="E5" s="6">
        <v>9</v>
      </c>
      <c r="F5" s="1" t="s">
        <v>11</v>
      </c>
      <c r="G5" s="2">
        <v>90</v>
      </c>
      <c r="H5" s="2">
        <v>92</v>
      </c>
      <c r="I5" s="2">
        <v>86</v>
      </c>
      <c r="J5" s="15">
        <f t="shared" si="0"/>
        <v>268</v>
      </c>
      <c r="K5" s="16" t="str">
        <f t="shared" si="1"/>
        <v>pass</v>
      </c>
      <c r="L5" s="17"/>
    </row>
    <row r="6" spans="1:12" ht="31" x14ac:dyDescent="0.35">
      <c r="A6" s="4" t="s">
        <v>12</v>
      </c>
      <c r="B6" s="12" t="s">
        <v>35</v>
      </c>
      <c r="C6" s="12" t="s">
        <v>48</v>
      </c>
      <c r="D6" s="5">
        <v>4</v>
      </c>
      <c r="E6" s="6">
        <v>9</v>
      </c>
      <c r="F6" s="1" t="s">
        <v>13</v>
      </c>
      <c r="G6" s="2">
        <v>50</v>
      </c>
      <c r="H6" s="2">
        <v>10</v>
      </c>
      <c r="I6" s="2">
        <v>40</v>
      </c>
      <c r="J6" s="15">
        <f t="shared" si="0"/>
        <v>100</v>
      </c>
      <c r="K6" s="16" t="str">
        <f t="shared" si="1"/>
        <v>fail</v>
      </c>
      <c r="L6" s="17"/>
    </row>
    <row r="7" spans="1:12" ht="31" x14ac:dyDescent="0.35">
      <c r="A7" s="4" t="s">
        <v>14</v>
      </c>
      <c r="B7" s="12" t="s">
        <v>36</v>
      </c>
      <c r="C7" s="12" t="s">
        <v>49</v>
      </c>
      <c r="D7" s="5">
        <v>5</v>
      </c>
      <c r="E7" s="6">
        <v>9</v>
      </c>
      <c r="F7" s="1" t="s">
        <v>59</v>
      </c>
      <c r="G7" s="2">
        <v>88</v>
      </c>
      <c r="H7" s="2">
        <v>84</v>
      </c>
      <c r="I7" s="2">
        <v>79</v>
      </c>
      <c r="J7" s="15">
        <f t="shared" si="0"/>
        <v>251</v>
      </c>
      <c r="K7" s="16" t="str">
        <f t="shared" si="1"/>
        <v>pass</v>
      </c>
      <c r="L7" s="17"/>
    </row>
    <row r="8" spans="1:12" ht="43.5" customHeight="1" x14ac:dyDescent="0.35">
      <c r="A8" s="4" t="s">
        <v>15</v>
      </c>
      <c r="B8" s="12" t="s">
        <v>37</v>
      </c>
      <c r="C8" s="12" t="s">
        <v>50</v>
      </c>
      <c r="D8" s="5">
        <v>6</v>
      </c>
      <c r="E8" s="6">
        <v>9</v>
      </c>
      <c r="F8" s="1" t="s">
        <v>16</v>
      </c>
      <c r="G8" s="2">
        <v>20</v>
      </c>
      <c r="H8" s="2">
        <v>10</v>
      </c>
      <c r="I8" s="2">
        <v>20</v>
      </c>
      <c r="J8" s="15">
        <f t="shared" si="0"/>
        <v>50</v>
      </c>
      <c r="K8" s="16" t="str">
        <f t="shared" si="1"/>
        <v>fail</v>
      </c>
      <c r="L8" s="17"/>
    </row>
    <row r="9" spans="1:12" ht="30" customHeight="1" x14ac:dyDescent="0.35">
      <c r="A9" s="4" t="s">
        <v>17</v>
      </c>
      <c r="B9" s="12" t="s">
        <v>38</v>
      </c>
      <c r="C9" s="12" t="s">
        <v>51</v>
      </c>
      <c r="D9" s="5">
        <v>7</v>
      </c>
      <c r="E9" s="6">
        <v>9</v>
      </c>
      <c r="F9" s="1" t="s">
        <v>18</v>
      </c>
      <c r="G9" s="2">
        <v>92</v>
      </c>
      <c r="H9" s="2">
        <v>89</v>
      </c>
      <c r="I9" s="2">
        <v>94</v>
      </c>
      <c r="J9" s="15">
        <f t="shared" si="0"/>
        <v>275</v>
      </c>
      <c r="K9" s="16" t="str">
        <f t="shared" si="1"/>
        <v>pass</v>
      </c>
      <c r="L9" s="17"/>
    </row>
    <row r="10" spans="1:12" ht="31" x14ac:dyDescent="0.35">
      <c r="A10" s="4" t="s">
        <v>29</v>
      </c>
      <c r="B10" s="12" t="s">
        <v>39</v>
      </c>
      <c r="C10" s="12" t="s">
        <v>51</v>
      </c>
      <c r="D10" s="5">
        <v>8</v>
      </c>
      <c r="E10" s="6">
        <v>9</v>
      </c>
      <c r="F10" s="1" t="s">
        <v>19</v>
      </c>
      <c r="G10" s="2">
        <v>81</v>
      </c>
      <c r="H10" s="2">
        <v>77</v>
      </c>
      <c r="I10" s="2">
        <v>85</v>
      </c>
      <c r="J10" s="15">
        <f t="shared" si="0"/>
        <v>243</v>
      </c>
      <c r="K10" s="16" t="str">
        <f t="shared" si="1"/>
        <v>pass</v>
      </c>
      <c r="L10" s="17"/>
    </row>
    <row r="11" spans="1:12" ht="31" x14ac:dyDescent="0.35">
      <c r="A11" s="4" t="s">
        <v>20</v>
      </c>
      <c r="B11" s="12" t="s">
        <v>40</v>
      </c>
      <c r="C11" s="12" t="s">
        <v>52</v>
      </c>
      <c r="D11" s="5">
        <v>9</v>
      </c>
      <c r="E11" s="6">
        <v>9</v>
      </c>
      <c r="F11" s="1" t="s">
        <v>21</v>
      </c>
      <c r="G11" s="2">
        <v>90</v>
      </c>
      <c r="H11" s="2">
        <v>88</v>
      </c>
      <c r="I11" s="2">
        <v>91</v>
      </c>
      <c r="J11" s="15">
        <f t="shared" si="0"/>
        <v>269</v>
      </c>
      <c r="K11" s="16" t="str">
        <f t="shared" si="1"/>
        <v>pass</v>
      </c>
      <c r="L11" s="17"/>
    </row>
    <row r="12" spans="1:12" ht="48" customHeight="1" x14ac:dyDescent="0.35">
      <c r="A12" s="4" t="s">
        <v>22</v>
      </c>
      <c r="B12" s="12" t="s">
        <v>41</v>
      </c>
      <c r="C12" s="12" t="s">
        <v>53</v>
      </c>
      <c r="D12" s="5">
        <v>10</v>
      </c>
      <c r="E12" s="6">
        <v>9</v>
      </c>
      <c r="F12" s="1" t="s">
        <v>23</v>
      </c>
      <c r="G12" s="2">
        <v>74</v>
      </c>
      <c r="H12" s="2">
        <v>79</v>
      </c>
      <c r="I12" s="2">
        <v>82</v>
      </c>
      <c r="J12" s="15">
        <f t="shared" si="0"/>
        <v>235</v>
      </c>
      <c r="K12" s="16" t="str">
        <f t="shared" si="1"/>
        <v>pass</v>
      </c>
      <c r="L12" s="17"/>
    </row>
    <row r="13" spans="1:12" ht="36" customHeight="1" x14ac:dyDescent="0.35">
      <c r="A13" s="8" t="s">
        <v>24</v>
      </c>
      <c r="B13" s="12" t="s">
        <v>42</v>
      </c>
      <c r="C13" s="12" t="s">
        <v>54</v>
      </c>
      <c r="D13" s="7">
        <v>11</v>
      </c>
      <c r="E13" s="7">
        <v>9</v>
      </c>
      <c r="F13" s="9" t="s">
        <v>25</v>
      </c>
      <c r="G13" s="7">
        <v>86</v>
      </c>
      <c r="H13" s="7">
        <v>83</v>
      </c>
      <c r="I13" s="7">
        <v>88</v>
      </c>
      <c r="J13" s="15">
        <f t="shared" si="0"/>
        <v>257</v>
      </c>
      <c r="K13" s="16" t="str">
        <f t="shared" si="1"/>
        <v>pass</v>
      </c>
      <c r="L13" s="17"/>
    </row>
    <row r="14" spans="1:12" ht="37" customHeight="1" x14ac:dyDescent="0.35">
      <c r="A14" s="8" t="s">
        <v>26</v>
      </c>
      <c r="B14" s="12" t="s">
        <v>43</v>
      </c>
      <c r="C14" s="12" t="s">
        <v>55</v>
      </c>
      <c r="D14" s="7">
        <v>12</v>
      </c>
      <c r="E14" s="7">
        <v>9</v>
      </c>
      <c r="F14" s="9" t="s">
        <v>27</v>
      </c>
      <c r="G14" s="7">
        <v>89</v>
      </c>
      <c r="H14" s="7">
        <v>91</v>
      </c>
      <c r="I14" s="7">
        <v>87</v>
      </c>
      <c r="J14" s="15">
        <f t="shared" si="0"/>
        <v>267</v>
      </c>
      <c r="K14" s="16" t="str">
        <f t="shared" si="1"/>
        <v>pass</v>
      </c>
      <c r="L14" s="17"/>
    </row>
    <row r="15" spans="1:12" ht="36" customHeight="1" x14ac:dyDescent="0.35">
      <c r="A15" s="8" t="s">
        <v>28</v>
      </c>
      <c r="B15" s="12" t="s">
        <v>44</v>
      </c>
      <c r="C15" s="12" t="s">
        <v>56</v>
      </c>
      <c r="D15" s="7">
        <v>13</v>
      </c>
      <c r="E15" s="7">
        <v>9</v>
      </c>
      <c r="F15" s="9" t="s">
        <v>59</v>
      </c>
      <c r="G15" s="7">
        <v>80</v>
      </c>
      <c r="H15" s="7">
        <v>85</v>
      </c>
      <c r="I15" s="7">
        <v>78</v>
      </c>
      <c r="J15" s="15">
        <f t="shared" si="0"/>
        <v>243</v>
      </c>
      <c r="K15" s="16" t="str">
        <f t="shared" si="1"/>
        <v>pass</v>
      </c>
      <c r="L15" s="17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A825-3B35-4461-98EF-1F1E86E1E5AA}">
  <dimension ref="A1:P15"/>
  <sheetViews>
    <sheetView zoomScale="40" zoomScaleNormal="40" workbookViewId="0">
      <selection activeCell="O3" sqref="O3:P3"/>
    </sheetView>
  </sheetViews>
  <sheetFormatPr defaultRowHeight="14.5" x14ac:dyDescent="0.35"/>
  <cols>
    <col min="1" max="1" width="30.453125" customWidth="1"/>
    <col min="2" max="2" width="28.7265625" customWidth="1"/>
    <col min="3" max="3" width="21.1796875" customWidth="1"/>
    <col min="4" max="4" width="15" customWidth="1"/>
    <col min="5" max="5" width="15.1796875" customWidth="1"/>
    <col min="6" max="6" width="17.7265625" customWidth="1"/>
    <col min="7" max="7" width="27.26953125" customWidth="1"/>
    <col min="8" max="8" width="24.81640625" customWidth="1"/>
    <col min="9" max="9" width="27.08984375" customWidth="1"/>
    <col min="10" max="10" width="26.90625" customWidth="1"/>
    <col min="11" max="11" width="20" customWidth="1"/>
    <col min="12" max="12" width="17.7265625" customWidth="1"/>
    <col min="13" max="13" width="12.1796875" customWidth="1"/>
    <col min="14" max="14" width="12.81640625" customWidth="1"/>
    <col min="15" max="15" width="30.81640625" customWidth="1"/>
    <col min="16" max="16" width="25.1796875" customWidth="1"/>
  </cols>
  <sheetData>
    <row r="1" spans="1:16" ht="117" customHeight="1" x14ac:dyDescent="0.35">
      <c r="A1" s="42" t="s">
        <v>67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6" ht="86.5" customHeight="1" x14ac:dyDescent="0.35">
      <c r="A2" s="3" t="s">
        <v>0</v>
      </c>
      <c r="B2" s="31" t="s">
        <v>30</v>
      </c>
      <c r="C2" s="32" t="s">
        <v>31</v>
      </c>
      <c r="D2" s="33" t="s">
        <v>1</v>
      </c>
      <c r="E2" s="33" t="s">
        <v>2</v>
      </c>
      <c r="F2" s="33" t="s">
        <v>3</v>
      </c>
      <c r="G2" s="34" t="s">
        <v>4</v>
      </c>
      <c r="H2" s="34" t="s">
        <v>5</v>
      </c>
      <c r="I2" s="34" t="s">
        <v>6</v>
      </c>
      <c r="J2" s="35" t="s">
        <v>57</v>
      </c>
      <c r="K2" s="36" t="s">
        <v>58</v>
      </c>
      <c r="L2" s="37" t="s">
        <v>62</v>
      </c>
      <c r="M2" s="35" t="s">
        <v>63</v>
      </c>
      <c r="N2" s="35" t="s">
        <v>64</v>
      </c>
      <c r="O2" s="38" t="s">
        <v>65</v>
      </c>
      <c r="P2" s="39" t="s">
        <v>66</v>
      </c>
    </row>
    <row r="3" spans="1:16" ht="53.5" customHeight="1" x14ac:dyDescent="0.35">
      <c r="A3" s="6" t="s">
        <v>7</v>
      </c>
      <c r="B3" s="28" t="s">
        <v>32</v>
      </c>
      <c r="C3" s="12" t="s">
        <v>46</v>
      </c>
      <c r="D3" s="5">
        <v>1</v>
      </c>
      <c r="E3" s="6">
        <v>9</v>
      </c>
      <c r="F3" s="1" t="s">
        <v>59</v>
      </c>
      <c r="G3" s="2">
        <v>78</v>
      </c>
      <c r="H3" s="2">
        <v>82</v>
      </c>
      <c r="I3" s="2">
        <v>75</v>
      </c>
      <c r="J3" s="15">
        <f>SUM(G3:I3)</f>
        <v>235</v>
      </c>
      <c r="K3" s="16" t="str">
        <f>IF(J3:J15&gt;=120,"pass","fail")</f>
        <v>pass</v>
      </c>
      <c r="L3" s="18">
        <f>AVERAGE(G3:I3)</f>
        <v>78.333333333333329</v>
      </c>
      <c r="M3" s="13">
        <f>MAX(J3:J15)</f>
        <v>275</v>
      </c>
      <c r="N3" s="13">
        <f>MIN(J3:J15)</f>
        <v>50</v>
      </c>
      <c r="O3" s="12">
        <f>COUNTIF(K3:K15,"pass")</f>
        <v>11</v>
      </c>
      <c r="P3" s="29">
        <f>COUNTIF(K3:K15,"fail")</f>
        <v>2</v>
      </c>
    </row>
    <row r="4" spans="1:16" ht="68.5" customHeight="1" x14ac:dyDescent="0.35">
      <c r="A4" s="6" t="s">
        <v>8</v>
      </c>
      <c r="B4" s="28" t="s">
        <v>33</v>
      </c>
      <c r="C4" s="12" t="s">
        <v>45</v>
      </c>
      <c r="D4" s="5">
        <v>2</v>
      </c>
      <c r="E4" s="6">
        <v>9</v>
      </c>
      <c r="F4" s="1" t="s">
        <v>9</v>
      </c>
      <c r="G4" s="2">
        <v>85</v>
      </c>
      <c r="H4" s="2">
        <v>10</v>
      </c>
      <c r="I4" s="2">
        <v>88</v>
      </c>
      <c r="J4" s="15">
        <f t="shared" ref="J4:J15" si="0">SUM(G4:I4)</f>
        <v>183</v>
      </c>
      <c r="K4" s="16" t="str">
        <f t="shared" ref="K4:K15" si="1">IF(J4:J16&gt;=120,"pass","fail")</f>
        <v>pass</v>
      </c>
      <c r="L4" s="18">
        <f t="shared" ref="L4:L15" si="2">AVERAGE(G4:I4)</f>
        <v>61</v>
      </c>
      <c r="M4" s="17"/>
      <c r="N4" s="17"/>
      <c r="O4" s="17"/>
      <c r="P4" s="30"/>
    </row>
    <row r="5" spans="1:16" ht="55.5" customHeight="1" x14ac:dyDescent="0.35">
      <c r="A5" s="6" t="s">
        <v>10</v>
      </c>
      <c r="B5" s="28" t="s">
        <v>34</v>
      </c>
      <c r="C5" s="12" t="s">
        <v>47</v>
      </c>
      <c r="D5" s="5">
        <v>3</v>
      </c>
      <c r="E5" s="6">
        <v>9</v>
      </c>
      <c r="F5" s="1" t="s">
        <v>11</v>
      </c>
      <c r="G5" s="2">
        <v>90</v>
      </c>
      <c r="H5" s="2">
        <v>92</v>
      </c>
      <c r="I5" s="2">
        <v>86</v>
      </c>
      <c r="J5" s="15">
        <f t="shared" si="0"/>
        <v>268</v>
      </c>
      <c r="K5" s="16" t="str">
        <f t="shared" si="1"/>
        <v>pass</v>
      </c>
      <c r="L5" s="18">
        <f t="shared" si="2"/>
        <v>89.333333333333329</v>
      </c>
      <c r="M5" s="17"/>
      <c r="N5" s="17"/>
      <c r="O5" s="17"/>
      <c r="P5" s="30"/>
    </row>
    <row r="6" spans="1:16" ht="34.5" customHeight="1" x14ac:dyDescent="0.35">
      <c r="A6" s="6" t="s">
        <v>12</v>
      </c>
      <c r="B6" s="28" t="s">
        <v>35</v>
      </c>
      <c r="C6" s="12" t="s">
        <v>48</v>
      </c>
      <c r="D6" s="5">
        <v>4</v>
      </c>
      <c r="E6" s="6">
        <v>9</v>
      </c>
      <c r="F6" s="1" t="s">
        <v>13</v>
      </c>
      <c r="G6" s="2">
        <v>50</v>
      </c>
      <c r="H6" s="2">
        <v>10</v>
      </c>
      <c r="I6" s="2">
        <v>40</v>
      </c>
      <c r="J6" s="15">
        <f t="shared" si="0"/>
        <v>100</v>
      </c>
      <c r="K6" s="16" t="str">
        <f t="shared" si="1"/>
        <v>fail</v>
      </c>
      <c r="L6" s="18">
        <f t="shared" si="2"/>
        <v>33.333333333333336</v>
      </c>
      <c r="M6" s="17"/>
      <c r="N6" s="17"/>
      <c r="O6" s="17"/>
      <c r="P6" s="30"/>
    </row>
    <row r="7" spans="1:16" ht="56.5" customHeight="1" x14ac:dyDescent="0.35">
      <c r="A7" s="6" t="s">
        <v>14</v>
      </c>
      <c r="B7" s="28" t="s">
        <v>36</v>
      </c>
      <c r="C7" s="12" t="s">
        <v>49</v>
      </c>
      <c r="D7" s="5">
        <v>5</v>
      </c>
      <c r="E7" s="6">
        <v>9</v>
      </c>
      <c r="F7" s="1" t="s">
        <v>59</v>
      </c>
      <c r="G7" s="2">
        <v>88</v>
      </c>
      <c r="H7" s="2">
        <v>84</v>
      </c>
      <c r="I7" s="2">
        <v>79</v>
      </c>
      <c r="J7" s="15">
        <f t="shared" si="0"/>
        <v>251</v>
      </c>
      <c r="K7" s="16" t="str">
        <f t="shared" si="1"/>
        <v>pass</v>
      </c>
      <c r="L7" s="18">
        <f t="shared" si="2"/>
        <v>83.666666666666671</v>
      </c>
      <c r="M7" s="17"/>
      <c r="N7" s="17"/>
      <c r="O7" s="17"/>
      <c r="P7" s="30"/>
    </row>
    <row r="8" spans="1:16" ht="42" customHeight="1" x14ac:dyDescent="0.35">
      <c r="A8" s="6" t="s">
        <v>15</v>
      </c>
      <c r="B8" s="28" t="s">
        <v>37</v>
      </c>
      <c r="C8" s="12" t="s">
        <v>50</v>
      </c>
      <c r="D8" s="5">
        <v>6</v>
      </c>
      <c r="E8" s="6">
        <v>9</v>
      </c>
      <c r="F8" s="1" t="s">
        <v>16</v>
      </c>
      <c r="G8" s="2">
        <v>20</v>
      </c>
      <c r="H8" s="2">
        <v>10</v>
      </c>
      <c r="I8" s="2">
        <v>20</v>
      </c>
      <c r="J8" s="15">
        <f t="shared" si="0"/>
        <v>50</v>
      </c>
      <c r="K8" s="16" t="str">
        <f t="shared" si="1"/>
        <v>fail</v>
      </c>
      <c r="L8" s="18">
        <f t="shared" si="2"/>
        <v>16.666666666666668</v>
      </c>
      <c r="M8" s="17"/>
      <c r="N8" s="17"/>
      <c r="O8" s="17"/>
      <c r="P8" s="30"/>
    </row>
    <row r="9" spans="1:16" ht="42.5" customHeight="1" x14ac:dyDescent="0.35">
      <c r="A9" s="6" t="s">
        <v>17</v>
      </c>
      <c r="B9" s="28" t="s">
        <v>38</v>
      </c>
      <c r="C9" s="12" t="s">
        <v>51</v>
      </c>
      <c r="D9" s="5">
        <v>7</v>
      </c>
      <c r="E9" s="6">
        <v>9</v>
      </c>
      <c r="F9" s="1" t="s">
        <v>18</v>
      </c>
      <c r="G9" s="2">
        <v>92</v>
      </c>
      <c r="H9" s="2">
        <v>89</v>
      </c>
      <c r="I9" s="2">
        <v>94</v>
      </c>
      <c r="J9" s="15">
        <f t="shared" si="0"/>
        <v>275</v>
      </c>
      <c r="K9" s="16" t="str">
        <f t="shared" si="1"/>
        <v>pass</v>
      </c>
      <c r="L9" s="18">
        <f t="shared" si="2"/>
        <v>91.666666666666671</v>
      </c>
      <c r="M9" s="17"/>
      <c r="N9" s="17"/>
      <c r="O9" s="17"/>
      <c r="P9" s="30"/>
    </row>
    <row r="10" spans="1:16" ht="65" customHeight="1" x14ac:dyDescent="0.35">
      <c r="A10" s="6" t="s">
        <v>29</v>
      </c>
      <c r="B10" s="28" t="s">
        <v>39</v>
      </c>
      <c r="C10" s="12" t="s">
        <v>51</v>
      </c>
      <c r="D10" s="5">
        <v>8</v>
      </c>
      <c r="E10" s="6">
        <v>9</v>
      </c>
      <c r="F10" s="1" t="s">
        <v>19</v>
      </c>
      <c r="G10" s="2">
        <v>81</v>
      </c>
      <c r="H10" s="2">
        <v>77</v>
      </c>
      <c r="I10" s="2">
        <v>85</v>
      </c>
      <c r="J10" s="15">
        <f t="shared" si="0"/>
        <v>243</v>
      </c>
      <c r="K10" s="16" t="str">
        <f t="shared" si="1"/>
        <v>pass</v>
      </c>
      <c r="L10" s="18">
        <f t="shared" si="2"/>
        <v>81</v>
      </c>
      <c r="M10" s="17"/>
      <c r="N10" s="17"/>
      <c r="O10" s="17"/>
      <c r="P10" s="30"/>
    </row>
    <row r="11" spans="1:16" ht="38.5" customHeight="1" x14ac:dyDescent="0.35">
      <c r="A11" s="6" t="s">
        <v>20</v>
      </c>
      <c r="B11" s="28" t="s">
        <v>40</v>
      </c>
      <c r="C11" s="12" t="s">
        <v>52</v>
      </c>
      <c r="D11" s="5">
        <v>9</v>
      </c>
      <c r="E11" s="6">
        <v>9</v>
      </c>
      <c r="F11" s="1" t="s">
        <v>21</v>
      </c>
      <c r="G11" s="2">
        <v>90</v>
      </c>
      <c r="H11" s="2">
        <v>88</v>
      </c>
      <c r="I11" s="2">
        <v>91</v>
      </c>
      <c r="J11" s="15">
        <f t="shared" si="0"/>
        <v>269</v>
      </c>
      <c r="K11" s="16" t="str">
        <f t="shared" si="1"/>
        <v>pass</v>
      </c>
      <c r="L11" s="18">
        <f t="shared" si="2"/>
        <v>89.666666666666671</v>
      </c>
      <c r="M11" s="17"/>
      <c r="N11" s="17"/>
      <c r="O11" s="17"/>
      <c r="P11" s="30"/>
    </row>
    <row r="12" spans="1:16" ht="79" customHeight="1" x14ac:dyDescent="0.35">
      <c r="A12" s="6" t="s">
        <v>22</v>
      </c>
      <c r="B12" s="28" t="s">
        <v>41</v>
      </c>
      <c r="C12" s="12" t="s">
        <v>53</v>
      </c>
      <c r="D12" s="5">
        <v>10</v>
      </c>
      <c r="E12" s="6">
        <v>9</v>
      </c>
      <c r="F12" s="1" t="s">
        <v>23</v>
      </c>
      <c r="G12" s="2">
        <v>74</v>
      </c>
      <c r="H12" s="2">
        <v>79</v>
      </c>
      <c r="I12" s="2">
        <v>82</v>
      </c>
      <c r="J12" s="15">
        <f t="shared" si="0"/>
        <v>235</v>
      </c>
      <c r="K12" s="16" t="str">
        <f t="shared" si="1"/>
        <v>pass</v>
      </c>
      <c r="L12" s="18">
        <f t="shared" si="2"/>
        <v>78.333333333333329</v>
      </c>
      <c r="M12" s="17"/>
      <c r="N12" s="17"/>
      <c r="O12" s="17"/>
      <c r="P12" s="30"/>
    </row>
    <row r="13" spans="1:16" ht="48.5" customHeight="1" x14ac:dyDescent="0.35">
      <c r="A13" s="9" t="s">
        <v>24</v>
      </c>
      <c r="B13" s="28" t="s">
        <v>42</v>
      </c>
      <c r="C13" s="12" t="s">
        <v>54</v>
      </c>
      <c r="D13" s="7">
        <v>11</v>
      </c>
      <c r="E13" s="7">
        <v>9</v>
      </c>
      <c r="F13" s="9" t="s">
        <v>25</v>
      </c>
      <c r="G13" s="7">
        <v>86</v>
      </c>
      <c r="H13" s="7">
        <v>83</v>
      </c>
      <c r="I13" s="7">
        <v>88</v>
      </c>
      <c r="J13" s="15">
        <f t="shared" si="0"/>
        <v>257</v>
      </c>
      <c r="K13" s="16" t="str">
        <f t="shared" si="1"/>
        <v>pass</v>
      </c>
      <c r="L13" s="18">
        <f t="shared" si="2"/>
        <v>85.666666666666671</v>
      </c>
      <c r="M13" s="17"/>
      <c r="N13" s="17"/>
      <c r="O13" s="17"/>
      <c r="P13" s="30"/>
    </row>
    <row r="14" spans="1:16" ht="55.5" customHeight="1" x14ac:dyDescent="0.35">
      <c r="A14" s="9" t="s">
        <v>26</v>
      </c>
      <c r="B14" s="28" t="s">
        <v>43</v>
      </c>
      <c r="C14" s="12" t="s">
        <v>55</v>
      </c>
      <c r="D14" s="7">
        <v>12</v>
      </c>
      <c r="E14" s="7">
        <v>9</v>
      </c>
      <c r="F14" s="9" t="s">
        <v>27</v>
      </c>
      <c r="G14" s="7">
        <v>89</v>
      </c>
      <c r="H14" s="7">
        <v>91</v>
      </c>
      <c r="I14" s="7">
        <v>87</v>
      </c>
      <c r="J14" s="15">
        <f t="shared" si="0"/>
        <v>267</v>
      </c>
      <c r="K14" s="16" t="str">
        <f t="shared" si="1"/>
        <v>pass</v>
      </c>
      <c r="L14" s="18">
        <f t="shared" si="2"/>
        <v>89</v>
      </c>
      <c r="M14" s="17"/>
      <c r="N14" s="17"/>
      <c r="O14" s="17"/>
      <c r="P14" s="30"/>
    </row>
    <row r="15" spans="1:16" ht="75" customHeight="1" x14ac:dyDescent="0.35">
      <c r="A15" s="9" t="s">
        <v>28</v>
      </c>
      <c r="B15" s="40" t="s">
        <v>44</v>
      </c>
      <c r="C15" s="21" t="s">
        <v>56</v>
      </c>
      <c r="D15" s="22">
        <v>13</v>
      </c>
      <c r="E15" s="22">
        <v>9</v>
      </c>
      <c r="F15" s="23" t="s">
        <v>59</v>
      </c>
      <c r="G15" s="22">
        <v>80</v>
      </c>
      <c r="H15" s="22">
        <v>85</v>
      </c>
      <c r="I15" s="22">
        <v>78</v>
      </c>
      <c r="J15" s="24">
        <f t="shared" si="0"/>
        <v>243</v>
      </c>
      <c r="K15" s="25" t="str">
        <f t="shared" si="1"/>
        <v>pass</v>
      </c>
      <c r="L15" s="26">
        <f t="shared" si="2"/>
        <v>81</v>
      </c>
      <c r="M15" s="27"/>
      <c r="N15" s="27"/>
      <c r="O15" s="27"/>
      <c r="P15" s="41"/>
    </row>
  </sheetData>
  <conditionalFormatting sqref="G3:I15">
    <cfRule type="cellIs" dxfId="18" priority="1" operator="lessThan">
      <formula>40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4282-D14B-43C9-9D6B-E83F58428087}">
  <dimension ref="A1"/>
  <sheetViews>
    <sheetView tabSelected="1" topLeftCell="B1" zoomScaleNormal="100" workbookViewId="0">
      <selection activeCell="M7" sqref="M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Marks_Analysis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sharma</dc:creator>
  <cp:lastModifiedBy>vaibhav sharma</cp:lastModifiedBy>
  <dcterms:created xsi:type="dcterms:W3CDTF">2026-01-06T07:47:31Z</dcterms:created>
  <dcterms:modified xsi:type="dcterms:W3CDTF">2026-01-06T09:41:24Z</dcterms:modified>
</cp:coreProperties>
</file>